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c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<sst xmlns="http://schemas.openxmlformats.org/spreadsheetml/2006/main" count="43" uniqueCount="43">
  <si>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ORCAMENTO - ROBO BLACK WIDOW</t>
  </si>
  <si>
    <t xml:space="preserve">Universidade Sao Francisco - Robotica  |  Teto orcamentario: R$ 1.200,00</t>
  </si>
  <si>
    <t xml:space="preserve">Descricao do componente</t>
  </si>
  <si>
    <t xml:space="preserve">Quantidade</t>
  </si>
  <si>
    <t xml:space="preserve">Preco unitario (R$)</t>
  </si>
  <si>
    <t xml:space="preserve">Peso unitario (g)</t>
  </si>
  <si>
    <t xml:space="preserve">Valor total (R$)</t>
  </si>
  <si>
    <t xml:space="preserve">Peso total (g)</t>
  </si>
  <si>
    <t xml:space="preserve">Chapa de aluminio 2 mm (300 x 200 mm) - chassi</t>
  </si>
  <si>
    <t xml:space="preserve">Base e tampa superior</t>
  </si>
  <si>
    <t xml:space="preserve">Motor DC 12 V JGB37-520 COM encoder integrado</t>
  </si>
  <si>
    <t xml:space="preserve">Tracao + leitura de velocidade</t>
  </si>
  <si>
    <t xml:space="preserve">Roda de borracha 65 mm x 27 mm</t>
  </si>
  <si>
    <t xml:space="preserve">Rodas motrizes</t>
  </si>
  <si>
    <t xml:space="preserve">Roda boba (castor) 40 mm</t>
  </si>
  <si>
    <t xml:space="preserve">Apoio dianteiro</t>
  </si>
  <si>
    <t xml:space="preserve">Ponte H BTS7960 43 A</t>
  </si>
  <si>
    <t xml:space="preserve">1 modulo por motor</t>
  </si>
  <si>
    <t xml:space="preserve">Conversor DC-DC step-down LM2596</t>
  </si>
  <si>
    <t xml:space="preserve">12 V -&gt; 5 V</t>
  </si>
  <si>
    <t xml:space="preserve">ESP32 DevKit V1 (30 pinos)</t>
  </si>
  <si>
    <t xml:space="preserve">Controlador principal</t>
  </si>
  <si>
    <t xml:space="preserve">Bateria LiFePO4 12,8 V 6 Ah</t>
  </si>
  <si>
    <t xml:space="preserve">Alimentacao principal</t>
  </si>
  <si>
    <t xml:space="preserve">Chapa de aco 1,5 mm - rampa frontal</t>
  </si>
  <si>
    <t xml:space="preserve">Arma / dispositivo de ataque</t>
  </si>
  <si>
    <t xml:space="preserve">Chave geral + fusivel lamina 20 A</t>
  </si>
  <si>
    <t xml:space="preserve">Item de seguranca</t>
  </si>
  <si>
    <t xml:space="preserve">Parafusos, cabos e conectores</t>
  </si>
  <si>
    <t xml:space="preserve">Material de montagem</t>
  </si>
  <si>
    <t xml:space="preserve">TOTAL</t>
  </si>
  <si>
    <t xml:space="preserve">Teto orcamentario (R$)</t>
  </si>
  <si>
    <t xml:space="preserve">Margem restante (R$)</t>
  </si>
  <si>
    <t xml:space="preserve">Massa total estimada (kg)</t>
  </si>
  <si>
    <t xml:space="preserve">OBSERVACOES E PREMISSAS</t>
  </si>
  <si>
    <t xml:space="preserve">1. Valores unitarios sao MEDIAS de pesquisa em varejo nacional (Mercado Livre / lojas de eletronica), ago/2026.</t>
  </si>
  <si>
    <t xml:space="preserve">2. Sao 2 pontes H BTS7960: cada modulo aciona apenas UM motor. O orcamento inicial do grupo previa 1 unidade.</t>
  </si>
  <si>
    <t xml:space="preserve">3. Pesos sao estimativas de catalogo dos fabricantes; confirmar na compra.</t>
  </si>
  <si>
    <t xml:space="preserve">4. O encoder NAO aparece em linha separada: o JGB37-520 e vendido com encoder de quadratura ja acoplado.</t>
  </si>
  <si>
    <t xml:space="preserve">   Compra-lo a parte seria pagar duas vezes pela mesma funcao (a lista inicial do grupo tinha essa duplicidade).</t>
  </si>
  <si>
    <t xml:space="preserve">5. Alternativa de menor custo: kit chassi 2WD com encoder (~R$ 67), substituindo motores, rodas e roda boba.</t>
  </si>
  <si>
    <t xml:space="preserve">6. Chave geral e fusivel sao itens de seguranca exigidos em competicoes de robos de combate.</t>
  </si>
  <si>
    <t xml:space="preserve">7. Celulas em AZUL sao valores de entrada; celulas em preto sao calculadas por formula.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</si>
</sst>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#,##0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0B3D9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D91"/>
        <bgColor rgb="FF333399"/>
      </patternFill>
    </fill>
    <fill>
      <patternFill patternType="solid">
        <fgColor rgb="FF4472A4"/>
        <bgColor rgb="FF777777"/>
      </patternFill>
    </fill>
    <fill>
      <patternFill patternType="solid">
        <fgColor rgb="FFF2F6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2F6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72A4"/>
      <rgbColor rgb="FF999999"/>
      <rgbColor rgb="FF0B3D9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2</v>
      </c>
      <c r="C5" s="6" t="n">
        <v>75</v>
      </c>
      <c r="D5" s="7" t="n">
        <v>320</v>
      </c>
      <c r="E5" s="8" t="n">
        <f aca="false">B5*C5</f>
        <v>150</v>
      </c>
      <c r="F5" s="9" t="n">
        <f aca="false">B5*D5</f>
        <v>640</v>
      </c>
      <c r="G5" s="10" t="s">
        <v>9</v>
      </c>
    </row>
    <row r="6" customFormat="false" ht="15" hidden="false" customHeight="false" outlineLevel="0" collapsed="false">
      <c r="A6" s="11" t="s">
        <v>10</v>
      </c>
      <c r="B6" s="12" t="n">
        <v>2</v>
      </c>
      <c r="C6" s="13" t="n">
        <v>155</v>
      </c>
      <c r="D6" s="14" t="n">
        <v>220</v>
      </c>
      <c r="E6" s="15" t="n">
        <f aca="false">B6*C6</f>
        <v>310</v>
      </c>
      <c r="F6" s="16" t="n">
        <f aca="false">B6*D6</f>
        <v>440</v>
      </c>
      <c r="G6" s="10" t="s">
        <v>11</v>
      </c>
    </row>
    <row r="7" customFormat="false" ht="15" hidden="false" customHeight="false" outlineLevel="0" collapsed="false">
      <c r="A7" s="4" t="s">
        <v>12</v>
      </c>
      <c r="B7" s="5" t="n">
        <v>2</v>
      </c>
      <c r="C7" s="6" t="n">
        <v>25</v>
      </c>
      <c r="D7" s="7" t="n">
        <v>55</v>
      </c>
      <c r="E7" s="8" t="n">
        <f aca="false">B7*C7</f>
        <v>50</v>
      </c>
      <c r="F7" s="9" t="n">
        <f aca="false">B7*D7</f>
        <v>110</v>
      </c>
      <c r="G7" s="10" t="s">
        <v>13</v>
      </c>
    </row>
    <row r="8" customFormat="false" ht="15" hidden="false" customHeight="false" outlineLevel="0" collapsed="false">
      <c r="A8" s="11" t="s">
        <v>14</v>
      </c>
      <c r="B8" s="12" t="n">
        <v>1</v>
      </c>
      <c r="C8" s="13" t="n">
        <v>30</v>
      </c>
      <c r="D8" s="14" t="n">
        <v>35</v>
      </c>
      <c r="E8" s="15" t="n">
        <f aca="false">B8*C8</f>
        <v>30</v>
      </c>
      <c r="F8" s="16" t="n">
        <f aca="false">B8*D8</f>
        <v>35</v>
      </c>
      <c r="G8" s="10" t="s">
        <v>15</v>
      </c>
    </row>
    <row r="9" customFormat="false" ht="15" hidden="false" customHeight="false" outlineLevel="0" collapsed="false">
      <c r="A9" s="4" t="s">
        <v>16</v>
      </c>
      <c r="B9" s="5" t="n">
        <v>2</v>
      </c>
      <c r="C9" s="6" t="n">
        <v>30</v>
      </c>
      <c r="D9" s="7" t="n">
        <v>66</v>
      </c>
      <c r="E9" s="8" t="n">
        <f aca="false">B9*C9</f>
        <v>60</v>
      </c>
      <c r="F9" s="9" t="n">
        <f aca="false">B9*D9</f>
        <v>132</v>
      </c>
      <c r="G9" s="10" t="s">
        <v>17</v>
      </c>
    </row>
    <row r="10" customFormat="false" ht="15" hidden="false" customHeight="false" outlineLevel="0" collapsed="false">
      <c r="A10" s="11" t="s">
        <v>18</v>
      </c>
      <c r="B10" s="12" t="n">
        <v>1</v>
      </c>
      <c r="C10" s="13" t="n">
        <v>20</v>
      </c>
      <c r="D10" s="14" t="n">
        <v>12</v>
      </c>
      <c r="E10" s="15" t="n">
        <f aca="false">B10*C10</f>
        <v>20</v>
      </c>
      <c r="F10" s="16" t="n">
        <f aca="false">B10*D10</f>
        <v>12</v>
      </c>
      <c r="G10" s="10" t="s">
        <v>19</v>
      </c>
    </row>
    <row r="11" customFormat="false" ht="15" hidden="false" customHeight="false" outlineLevel="0" collapsed="false">
      <c r="A11" s="4" t="s">
        <v>20</v>
      </c>
      <c r="B11" s="5" t="n">
        <v>1</v>
      </c>
      <c r="C11" s="6" t="n">
        <v>40</v>
      </c>
      <c r="D11" s="7" t="n">
        <v>10</v>
      </c>
      <c r="E11" s="8" t="n">
        <f aca="false">B11*C11</f>
        <v>40</v>
      </c>
      <c r="F11" s="9" t="n">
        <f aca="false">B11*D11</f>
        <v>10</v>
      </c>
      <c r="G11" s="10" t="s">
        <v>21</v>
      </c>
    </row>
    <row r="12" customFormat="false" ht="15" hidden="false" customHeight="false" outlineLevel="0" collapsed="false">
      <c r="A12" s="11" t="s">
        <v>22</v>
      </c>
      <c r="B12" s="12" t="n">
        <v>1</v>
      </c>
      <c r="C12" s="13" t="n">
        <v>250</v>
      </c>
      <c r="D12" s="14" t="n">
        <v>900</v>
      </c>
      <c r="E12" s="15" t="n">
        <f aca="false">B12*C12</f>
        <v>250</v>
      </c>
      <c r="F12" s="16" t="n">
        <f aca="false">B12*D12</f>
        <v>900</v>
      </c>
      <c r="G12" s="10" t="s">
        <v>23</v>
      </c>
    </row>
    <row r="13" customFormat="false" ht="15" hidden="false" customHeight="false" outlineLevel="0" collapsed="false">
      <c r="A13" s="4" t="s">
        <v>24</v>
      </c>
      <c r="B13" s="5" t="n">
        <v>1</v>
      </c>
      <c r="C13" s="6" t="n">
        <v>60</v>
      </c>
      <c r="D13" s="7" t="n">
        <v>260</v>
      </c>
      <c r="E13" s="8" t="n">
        <f aca="false">B13*C13</f>
        <v>60</v>
      </c>
      <c r="F13" s="9" t="n">
        <f aca="false">B13*D13</f>
        <v>260</v>
      </c>
      <c r="G13" s="10" t="s">
        <v>25</v>
      </c>
    </row>
    <row r="14" customFormat="false" ht="15" hidden="false" customHeight="false" outlineLevel="0" collapsed="false">
      <c r="A14" s="11" t="s">
        <v>26</v>
      </c>
      <c r="B14" s="12" t="n">
        <v>1</v>
      </c>
      <c r="C14" s="13" t="n">
        <v>25</v>
      </c>
      <c r="D14" s="14" t="n">
        <v>45</v>
      </c>
      <c r="E14" s="15" t="n">
        <f aca="false">B14*C14</f>
        <v>25</v>
      </c>
      <c r="F14" s="16" t="n">
        <f aca="false">B14*D14</f>
        <v>45</v>
      </c>
      <c r="G14" s="10" t="s">
        <v>27</v>
      </c>
    </row>
    <row r="15" customFormat="false" ht="15" hidden="false" customHeight="false" outlineLevel="0" collapsed="false">
      <c r="A15" s="4" t="s">
        <v>28</v>
      </c>
      <c r="B15" s="5" t="n">
        <v>1</v>
      </c>
      <c r="C15" s="6" t="n">
        <v>30</v>
      </c>
      <c r="D15" s="7" t="n">
        <v>120</v>
      </c>
      <c r="E15" s="8" t="n">
        <f aca="false">B15*C15</f>
        <v>30</v>
      </c>
      <c r="F15" s="9" t="n">
        <f aca="false">B15*D15</f>
        <v>120</v>
      </c>
      <c r="G15" s="10" t="s">
        <v>29</v>
      </c>
    </row>
    <row r="16" customFormat="false" ht="15" hidden="false" customHeight="false" outlineLevel="0" collapsed="false">
      <c r="A16" s="17" t="s">
        <v>30</v>
      </c>
      <c r="B16" s="18"/>
      <c r="C16" s="19"/>
      <c r="D16" s="20"/>
      <c r="E16" s="19" t="n">
        <f aca="false">SUM(E5:E15)</f>
        <v>1025</v>
      </c>
      <c r="F16" s="20" t="n">
        <f aca="false">SUM(F5:F15)</f>
        <v>2704</v>
      </c>
    </row>
    <row r="18" customFormat="false" ht="15" hidden="false" customHeight="false" outlineLevel="0" collapsed="false">
      <c r="A18" s="21" t="s">
        <v>31</v>
      </c>
      <c r="E18" s="22" t="n">
        <v>1200</v>
      </c>
    </row>
    <row r="19" customFormat="false" ht="15" hidden="false" customHeight="false" outlineLevel="0" collapsed="false">
      <c r="A19" s="21" t="s">
        <v>32</v>
      </c>
      <c r="E19" s="23" t="n">
        <f aca="false">E18-E16</f>
        <v>175</v>
      </c>
    </row>
    <row r="20" customFormat="false" ht="15" hidden="false" customHeight="false" outlineLevel="0" collapsed="false">
      <c r="A20" s="21" t="s">
        <v>33</v>
      </c>
      <c r="E20" s="24" t="n">
        <f aca="false">F16/1000</f>
        <v>2.704</v>
      </c>
    </row>
    <row r="22" customFormat="false" ht="15" hidden="false" customHeight="false" outlineLevel="0" collapsed="false">
      <c r="A22" s="25"/>
    </row>
    <row r="23" customFormat="false" ht="15" hidden="false" customHeight="false" outlineLevel="0" collapsed="false">
      <c r="A23" s="26" t="s">
        <v>34</v>
      </c>
    </row>
    <row r="24" customFormat="false" ht="15" hidden="false" customHeight="false" outlineLevel="0" collapsed="false">
      <c r="A24" s="25" t="s">
        <v>35</v>
      </c>
    </row>
    <row r="25" customFormat="false" ht="15" hidden="false" customHeight="false" outlineLevel="0" collapsed="false">
      <c r="A25" s="25" t="s">
        <v>36</v>
      </c>
    </row>
    <row r="26" customFormat="false" ht="15" hidden="false" customHeight="false" outlineLevel="0" collapsed="false">
      <c r="A26" s="25" t="s">
        <v>37</v>
      </c>
    </row>
    <row r="27" customFormat="false" ht="15" hidden="false" customHeight="false" outlineLevel="0" collapsed="false">
      <c r="A27" s="25" t="s">
        <v>38</v>
      </c>
    </row>
    <row r="28" customFormat="false" ht="15" hidden="false" customHeight="false" outlineLevel="0" collapsed="false">
      <c r="A28" s="25" t="s">
        <v>39</v>
      </c>
    </row>
    <row r="29" customFormat="false" ht="15" hidden="false" customHeight="false" outlineLevel="0" collapsed="false">
      <c r="A29" s="25" t="s">
        <v>40</v>
      </c>
    </row>
    <row r="30" customFormat="false" ht="15" hidden="false" customHeight="false" outlineLevel="0" collapsed="false">
      <c r="A30" s="25" t="s">
        <v>41</v>
      </c>
    </row>
    <row r="31" customFormat="false" ht="15" hidden="false" customHeight="false" outlineLevel="0" collapsed="false">
      <c r="A31" s="25" t="s">
        <v>42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2026-08-29T20:59:48Z</dcterms:created>
  <dc:creator>openpyxl</dc:creator>
  <dc:description/>
  <dc:language>en-US</dc:language>
  <cp:lastModifiedBy/>
  <dcterms:modified xsi:type="dcterms:W3CDTF">2026-08-29T20:59:48Z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